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84128d4c6fff2b/Bureaublad/"/>
    </mc:Choice>
  </mc:AlternateContent>
  <xr:revisionPtr revIDLastSave="0" documentId="8_{35FB2EDE-5D01-42D3-AEED-92858450D0AD}" xr6:coauthVersionLast="47" xr6:coauthVersionMax="47" xr10:uidLastSave="{00000000-0000-0000-0000-000000000000}"/>
  <bookViews>
    <workbookView xWindow="-108" yWindow="-108" windowWidth="23256" windowHeight="13896" xr2:uid="{0A824BA9-165A-426D-9C9D-A00B1CD0A02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B3" i="1" s="1"/>
  <c r="H4" i="1"/>
  <c r="H5" i="1"/>
  <c r="H6" i="1"/>
  <c r="H7" i="1"/>
  <c r="H8" i="1"/>
  <c r="H9" i="1"/>
  <c r="H10" i="1"/>
  <c r="H11" i="1"/>
  <c r="H12" i="1"/>
  <c r="H13" i="1"/>
  <c r="H14" i="1"/>
  <c r="H3" i="1"/>
  <c r="F2" i="1"/>
  <c r="D2" i="1"/>
  <c r="E2" i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 l="1"/>
  <c r="C13" i="1"/>
  <c r="E3" i="1"/>
  <c r="F3" i="1" s="1"/>
  <c r="B4" i="1" s="1"/>
  <c r="D4" i="1" s="1"/>
  <c r="C14" i="1" l="1"/>
  <c r="C15" i="1" s="1"/>
  <c r="E4" i="1" l="1"/>
  <c r="F4" i="1" l="1"/>
  <c r="B5" i="1" s="1"/>
  <c r="D5" i="1" s="1"/>
  <c r="E5" i="1" l="1"/>
  <c r="F5" i="1" l="1"/>
  <c r="B6" i="1" s="1"/>
  <c r="D6" i="1" s="1"/>
  <c r="E6" i="1" l="1"/>
  <c r="F6" i="1" l="1"/>
  <c r="B7" i="1" s="1"/>
  <c r="D7" i="1" s="1"/>
  <c r="E7" i="1" l="1"/>
  <c r="F7" i="1" l="1"/>
  <c r="B8" i="1" s="1"/>
  <c r="D8" i="1" s="1"/>
  <c r="E8" i="1" l="1"/>
  <c r="F8" i="1" l="1"/>
  <c r="B9" i="1" s="1"/>
  <c r="D9" i="1" s="1"/>
  <c r="E9" i="1" l="1"/>
  <c r="F9" i="1" l="1"/>
  <c r="B10" i="1" s="1"/>
  <c r="D10" i="1" s="1"/>
  <c r="E10" i="1" l="1"/>
  <c r="F10" i="1" l="1"/>
  <c r="B11" i="1" s="1"/>
  <c r="D11" i="1" s="1"/>
  <c r="E11" i="1" l="1"/>
  <c r="F11" i="1" l="1"/>
  <c r="B12" i="1" s="1"/>
  <c r="D12" i="1" s="1"/>
  <c r="E12" i="1" l="1"/>
  <c r="F12" i="1" l="1"/>
  <c r="B13" i="1" s="1"/>
  <c r="D13" i="1" s="1"/>
  <c r="E13" i="1" l="1"/>
  <c r="F13" i="1" s="1"/>
  <c r="B14" i="1" s="1"/>
  <c r="D14" i="1" s="1"/>
  <c r="E14" i="1" l="1"/>
  <c r="F14" i="1" s="1"/>
</calcChain>
</file>

<file path=xl/sharedStrings.xml><?xml version="1.0" encoding="utf-8"?>
<sst xmlns="http://schemas.openxmlformats.org/spreadsheetml/2006/main" count="7" uniqueCount="7">
  <si>
    <t>dividenduitkering</t>
  </si>
  <si>
    <t>Prijs per aandeel</t>
  </si>
  <si>
    <t>Totaal prijs aandelen</t>
  </si>
  <si>
    <t>Aantal aandelen gekocht met dividenduitkering</t>
  </si>
  <si>
    <t>Aantal aandelen</t>
  </si>
  <si>
    <t>Jaar</t>
  </si>
  <si>
    <t>Extra inbreng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</si>
</sst>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C5E0-59AF-4D4C-96CF-C285CD937CA2}">
  <dimension ref="A1:H15"/>
  <sheetViews>
    <sheetView tabSelected="1" workbookViewId="0">
      <selection activeCell="G3" sqref="G3:G14"/>
    </sheetView>
  </sheetViews>
  <sheetFormatPr defaultColWidth="17.6640625" defaultRowHeight="30" customHeight="1" x14ac:dyDescent="0.3"/>
  <cols>
    <col min="1" max="1" width="17.6640625" style="1"/>
    <col min="2" max="2" width="17.6640625" style="4"/>
    <col min="3" max="4" width="24.88671875" style="1" customWidth="1"/>
    <col min="5" max="5" width="25.6640625" style="1" customWidth="1"/>
    <col min="6" max="6" width="23.77734375" style="1" customWidth="1"/>
    <col min="7" max="7" width="24.88671875" style="1" customWidth="1"/>
    <col min="8" max="16384" width="17.6640625" style="1"/>
  </cols>
  <sheetData>
    <row r="1" spans="1:8" ht="41.4" x14ac:dyDescent="0.3">
      <c r="A1" s="3" t="s">
        <v>5</v>
      </c>
      <c r="B1" s="3" t="s">
        <v>4</v>
      </c>
      <c r="C1" s="3" t="s">
        <v>1</v>
      </c>
      <c r="D1" s="3" t="s">
        <v>2</v>
      </c>
      <c r="E1" s="3" t="s">
        <v>0</v>
      </c>
      <c r="F1" s="7" t="s">
        <v>3</v>
      </c>
      <c r="G1" s="3" t="s">
        <v>6</v>
      </c>
    </row>
    <row r="2" spans="1:8" ht="30" customHeight="1" x14ac:dyDescent="0.3">
      <c r="A2" s="4">
        <v>2026</v>
      </c>
      <c r="B2" s="4">
        <v>100</v>
      </c>
      <c r="C2" s="2">
        <v>60.75</v>
      </c>
      <c r="D2" s="2">
        <f>C2*B2</f>
        <v>6075</v>
      </c>
      <c r="E2" s="2">
        <f>(B2*C2)*3.8%</f>
        <v>230.85</v>
      </c>
      <c r="F2" s="5">
        <f>ROUNDDOWN(E2/C3,0)</f>
        <v>3</v>
      </c>
      <c r="G2" s="2"/>
      <c r="H2" s="5">
        <f>ROUNDDOWN(G2/C3,0)</f>
        <v>0</v>
      </c>
    </row>
    <row r="3" spans="1:8" ht="30" customHeight="1" x14ac:dyDescent="0.3">
      <c r="A3" s="4">
        <v>2027</v>
      </c>
      <c r="B3" s="6">
        <f>B2+F2+H2</f>
        <v>103</v>
      </c>
      <c r="C3" s="2">
        <f>C2+(C2*2.9%)</f>
        <v>62.511749999999999</v>
      </c>
      <c r="D3" s="2">
        <f t="shared" ref="D3:D14" si="0">C3*B3</f>
        <v>6438.7102500000001</v>
      </c>
      <c r="E3" s="2">
        <f>(B3*C3)*3.8%</f>
        <v>244.67098949999999</v>
      </c>
      <c r="F3" s="5">
        <f t="shared" ref="F3:F14" si="1">ROUNDDOWN(E3/C4,0)</f>
        <v>3</v>
      </c>
      <c r="G3" s="2">
        <v>2000</v>
      </c>
      <c r="H3" s="5">
        <f>ROUNDDOWN(G3/C4,0)</f>
        <v>31</v>
      </c>
    </row>
    <row r="4" spans="1:8" ht="30" customHeight="1" x14ac:dyDescent="0.3">
      <c r="A4" s="4">
        <v>2028</v>
      </c>
      <c r="B4" s="6">
        <f t="shared" ref="B4:B14" si="2">B3+F3+H3</f>
        <v>137</v>
      </c>
      <c r="C4" s="2">
        <f t="shared" ref="C4:C11" si="3">C3+(C3*2.9%)</f>
        <v>64.324590749999999</v>
      </c>
      <c r="D4" s="2">
        <f t="shared" si="0"/>
        <v>8812.46893275</v>
      </c>
      <c r="E4" s="2">
        <f>(B4*C4)*3.8%</f>
        <v>334.87381944449999</v>
      </c>
      <c r="F4" s="5">
        <f t="shared" si="1"/>
        <v>5</v>
      </c>
      <c r="G4" s="2">
        <v>2000</v>
      </c>
      <c r="H4" s="5">
        <f t="shared" ref="H4:H14" si="4">ROUNDDOWN(G4/C5,0)</f>
        <v>30</v>
      </c>
    </row>
    <row r="5" spans="1:8" ht="30" customHeight="1" x14ac:dyDescent="0.3">
      <c r="A5" s="4">
        <v>2029</v>
      </c>
      <c r="B5" s="6">
        <f t="shared" si="2"/>
        <v>172</v>
      </c>
      <c r="C5" s="2">
        <f t="shared" si="3"/>
        <v>66.190003881750002</v>
      </c>
      <c r="D5" s="2">
        <f t="shared" si="0"/>
        <v>11384.680667660999</v>
      </c>
      <c r="E5" s="2">
        <f>(B5*C5)*3.8%</f>
        <v>432.61786537111794</v>
      </c>
      <c r="F5" s="5">
        <f t="shared" si="1"/>
        <v>6</v>
      </c>
      <c r="G5" s="2">
        <v>2000</v>
      </c>
      <c r="H5" s="5">
        <f t="shared" si="4"/>
        <v>29</v>
      </c>
    </row>
    <row r="6" spans="1:8" ht="30" customHeight="1" x14ac:dyDescent="0.3">
      <c r="A6" s="4">
        <v>2030</v>
      </c>
      <c r="B6" s="6">
        <f t="shared" si="2"/>
        <v>207</v>
      </c>
      <c r="C6" s="2">
        <f t="shared" si="3"/>
        <v>68.10951399432075</v>
      </c>
      <c r="D6" s="2">
        <f t="shared" si="0"/>
        <v>14098.669396824394</v>
      </c>
      <c r="E6" s="2">
        <f>(B6*C6)*3.8%</f>
        <v>535.74943707932698</v>
      </c>
      <c r="F6" s="5">
        <f t="shared" si="1"/>
        <v>7</v>
      </c>
      <c r="G6" s="2">
        <v>2000</v>
      </c>
      <c r="H6" s="5">
        <f t="shared" si="4"/>
        <v>28</v>
      </c>
    </row>
    <row r="7" spans="1:8" ht="30" customHeight="1" x14ac:dyDescent="0.3">
      <c r="A7" s="4">
        <v>2031</v>
      </c>
      <c r="B7" s="6">
        <f t="shared" si="2"/>
        <v>242</v>
      </c>
      <c r="C7" s="2">
        <f t="shared" si="3"/>
        <v>70.08468990015605</v>
      </c>
      <c r="D7" s="2">
        <f t="shared" si="0"/>
        <v>16960.494955837763</v>
      </c>
      <c r="E7" s="2">
        <f>(B7*C7)*3.8%</f>
        <v>644.49880832183499</v>
      </c>
      <c r="F7" s="5">
        <f t="shared" si="1"/>
        <v>8</v>
      </c>
      <c r="G7" s="2">
        <v>2000</v>
      </c>
      <c r="H7" s="5">
        <f t="shared" si="4"/>
        <v>27</v>
      </c>
    </row>
    <row r="8" spans="1:8" ht="30" customHeight="1" x14ac:dyDescent="0.3">
      <c r="A8" s="4">
        <v>2032</v>
      </c>
      <c r="B8" s="6">
        <f t="shared" si="2"/>
        <v>277</v>
      </c>
      <c r="C8" s="2">
        <f t="shared" si="3"/>
        <v>72.117145907260578</v>
      </c>
      <c r="D8" s="2">
        <f t="shared" si="0"/>
        <v>19976.449416311181</v>
      </c>
      <c r="E8" s="2">
        <f>(B8*C8)*3.8%</f>
        <v>759.10507781982483</v>
      </c>
      <c r="F8" s="5">
        <f t="shared" si="1"/>
        <v>10</v>
      </c>
      <c r="G8" s="2">
        <v>2000</v>
      </c>
      <c r="H8" s="5">
        <f t="shared" si="4"/>
        <v>26</v>
      </c>
    </row>
    <row r="9" spans="1:8" ht="30" customHeight="1" x14ac:dyDescent="0.3">
      <c r="A9" s="4">
        <v>2033</v>
      </c>
      <c r="B9" s="6">
        <f t="shared" si="2"/>
        <v>313</v>
      </c>
      <c r="C9" s="2">
        <f t="shared" si="3"/>
        <v>74.20854313857113</v>
      </c>
      <c r="D9" s="2">
        <f t="shared" si="0"/>
        <v>23227.274002372764</v>
      </c>
      <c r="E9" s="2">
        <f>(B9*C9)*3.8%</f>
        <v>882.63641209016498</v>
      </c>
      <c r="F9" s="5">
        <f t="shared" si="1"/>
        <v>11</v>
      </c>
      <c r="G9" s="2">
        <v>2000</v>
      </c>
      <c r="H9" s="5">
        <f t="shared" si="4"/>
        <v>26</v>
      </c>
    </row>
    <row r="10" spans="1:8" ht="30" customHeight="1" x14ac:dyDescent="0.3">
      <c r="A10" s="4">
        <v>2034</v>
      </c>
      <c r="B10" s="6">
        <f t="shared" si="2"/>
        <v>350</v>
      </c>
      <c r="C10" s="2">
        <f t="shared" si="3"/>
        <v>76.360590889589687</v>
      </c>
      <c r="D10" s="2">
        <f t="shared" si="0"/>
        <v>26726.206811356391</v>
      </c>
      <c r="E10" s="2">
        <f>(B10*C10)*3.8%</f>
        <v>1015.5958588315428</v>
      </c>
      <c r="F10" s="5">
        <f t="shared" si="1"/>
        <v>12</v>
      </c>
      <c r="G10" s="2">
        <v>2000</v>
      </c>
      <c r="H10" s="5">
        <f t="shared" si="4"/>
        <v>25</v>
      </c>
    </row>
    <row r="11" spans="1:8" ht="30" customHeight="1" x14ac:dyDescent="0.3">
      <c r="A11" s="4">
        <v>2035</v>
      </c>
      <c r="B11" s="6">
        <f t="shared" si="2"/>
        <v>387</v>
      </c>
      <c r="C11" s="2">
        <f t="shared" si="3"/>
        <v>78.575048025387787</v>
      </c>
      <c r="D11" s="2">
        <f t="shared" si="0"/>
        <v>30408.543585825075</v>
      </c>
      <c r="E11" s="2">
        <f>(B11*C11)*3.8%</f>
        <v>1155.5246562613529</v>
      </c>
      <c r="F11" s="5">
        <f t="shared" si="1"/>
        <v>14</v>
      </c>
      <c r="G11" s="2">
        <v>2000</v>
      </c>
      <c r="H11" s="5">
        <f t="shared" si="4"/>
        <v>24</v>
      </c>
    </row>
    <row r="12" spans="1:8" ht="30" customHeight="1" x14ac:dyDescent="0.3">
      <c r="A12" s="4">
        <v>2036</v>
      </c>
      <c r="B12" s="6">
        <f t="shared" si="2"/>
        <v>425</v>
      </c>
      <c r="C12" s="2">
        <f t="shared" ref="C12:C15" si="5">C11+(C11*2.9%)</f>
        <v>80.853724418124031</v>
      </c>
      <c r="D12" s="2">
        <f t="shared" si="0"/>
        <v>34362.832877702713</v>
      </c>
      <c r="E12" s="2">
        <f>(B12*C12)*3.8%</f>
        <v>1305.7876493527031</v>
      </c>
      <c r="F12" s="5">
        <f t="shared" si="1"/>
        <v>15</v>
      </c>
      <c r="G12" s="2">
        <v>2000</v>
      </c>
      <c r="H12" s="5">
        <f t="shared" si="4"/>
        <v>24</v>
      </c>
    </row>
    <row r="13" spans="1:8" ht="30" customHeight="1" x14ac:dyDescent="0.3">
      <c r="A13" s="4">
        <v>2037</v>
      </c>
      <c r="B13" s="6">
        <f t="shared" si="2"/>
        <v>464</v>
      </c>
      <c r="C13" s="2">
        <f t="shared" si="5"/>
        <v>83.198482426249626</v>
      </c>
      <c r="D13" s="2">
        <f t="shared" si="0"/>
        <v>38604.095845779826</v>
      </c>
      <c r="E13" s="2">
        <f>(B13*C13)*3.8%</f>
        <v>1466.9556421396333</v>
      </c>
      <c r="F13" s="5">
        <f t="shared" si="1"/>
        <v>17</v>
      </c>
      <c r="G13" s="2">
        <v>2000</v>
      </c>
      <c r="H13" s="5">
        <f t="shared" si="4"/>
        <v>23</v>
      </c>
    </row>
    <row r="14" spans="1:8" ht="30" customHeight="1" x14ac:dyDescent="0.3">
      <c r="A14" s="4">
        <v>2038</v>
      </c>
      <c r="B14" s="6">
        <f t="shared" si="2"/>
        <v>504</v>
      </c>
      <c r="C14" s="2">
        <f t="shared" si="5"/>
        <v>85.61123841661086</v>
      </c>
      <c r="D14" s="2">
        <f t="shared" si="0"/>
        <v>43148.064161971874</v>
      </c>
      <c r="E14" s="2">
        <f>(B14*C14)*3.8%</f>
        <v>1639.6264381549311</v>
      </c>
      <c r="F14" s="5">
        <f t="shared" si="1"/>
        <v>18</v>
      </c>
      <c r="G14" s="2">
        <v>2000</v>
      </c>
      <c r="H14" s="5">
        <f t="shared" si="4"/>
        <v>22</v>
      </c>
    </row>
    <row r="15" spans="1:8" ht="30" customHeight="1" x14ac:dyDescent="0.3">
      <c r="C15" s="2">
        <f t="shared" si="5"/>
        <v>88.093964330692572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Seppe Vleminckx</dc:creator>
  <cp:lastModifiedBy>Seppe Vleminckx</cp:lastModifiedBy>
  <dcterms:created xsi:type="dcterms:W3CDTF">2026-01-18T17:30:43Z</dcterms:created>
  <dcterms:modified xsi:type="dcterms:W3CDTF">2026-01-20T15:23:58Z</dcterms:modified>
</cp:coreProperties>
</file>